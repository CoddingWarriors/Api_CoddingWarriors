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olors1.xml" ContentType="application/vnd.ms-office.chartcolorstyle+xml"/>
  <Override PartName="/xl/charts/style1.xml" ContentType="application/vnd.ms-office.chartstyle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0490" windowHeight="7500"/>
  </bookViews>
  <sheets>
    <sheet name="sprint4" sheetId="4" r:id="rId1"/>
  </sheets>
  <definedNames>
    <definedName name="Restante">OFFSET(#REF!,0,0,1,COUNT(#REF!))</definedName>
    <definedName name="Restante" localSheetId="0">OFFSET(sprint4!$B$17,0,0,1,COUNT(sprint4!$B$17:$Q$17))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<sst xmlns="http://schemas.openxmlformats.org/spreadsheetml/2006/main" count="38" uniqueCount="38">
  <si>
    <t>Total de Horas</t>
  </si>
  <si>
    <t>Dia 1</t>
  </si>
  <si>
    <t>Dia 2</t>
  </si>
  <si>
    <t>Dia 3</t>
  </si>
  <si>
    <t>Dia 4</t>
  </si>
  <si>
    <t>Dia 5</t>
  </si>
  <si>
    <t>Dia 6</t>
  </si>
  <si>
    <t>Dia 7</t>
  </si>
  <si>
    <t>Dia 8</t>
  </si>
  <si>
    <t>Dia 9</t>
  </si>
  <si>
    <t>Dia 10</t>
  </si>
  <si>
    <t>Dia 11</t>
  </si>
  <si>
    <t>Dia 12</t>
  </si>
  <si>
    <t>Dia 13</t>
  </si>
  <si>
    <t>Dia 14</t>
  </si>
  <si>
    <t>Dia 15</t>
  </si>
  <si>
    <t>Dia 16</t>
  </si>
  <si>
    <t>Dia 17</t>
  </si>
  <si>
    <t>Dia 18</t>
  </si>
  <si>
    <t>Dia 19</t>
  </si>
  <si>
    <t>Dia 20</t>
  </si>
  <si>
    <t>Dia 21</t>
  </si>
  <si>
    <t>Implementar mascara de cpf e cep - (front)</t>
  </si>
  <si>
    <t>Atualizar o campo dos chamados para mostrar as respostas nos locais corrretos - (back)</t>
  </si>
  <si>
    <t>Implementar o recurso de alterar dados cadastrais - (back)</t>
  </si>
  <si>
    <t>Tela para alterar os dados cadastrais - (front)</t>
  </si>
  <si>
    <t>Atualizar o gráfico do adm - (front)</t>
  </si>
  <si>
    <t>Criar a função para alterar o status do chamado - (back)</t>
  </si>
  <si>
    <t>Criar a função de cadastro de faq - (back)</t>
  </si>
  <si>
    <t>Criar a função de editar o faq - (back)</t>
  </si>
  <si>
    <t>Tela para cadastrar um faq - (front)</t>
  </si>
  <si>
    <t>Tela para editar um faq - (front)</t>
  </si>
  <si>
    <t>Tela para o adm visualizar todos os faq - (front)</t>
  </si>
  <si>
    <t>Criar a função para deletar um faq - (back)</t>
  </si>
  <si>
    <t>Criar a função para mostrar todos os faq para o cliente - (back)</t>
  </si>
  <si>
    <t>Restante</t>
  </si>
  <si>
    <t>Estimado</t>
  </si>
  <si>
    <t>Burndown.xlsm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</si>
</sst>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176" formatCode="_-* #,##0.00_-;\-* #,##0.00_-;_-* &quot;-&quot;??_-;_-@_-"/>
    <numFmt numFmtId="177" formatCode="_-&quot;R$&quot;\ * #,##0.00_-;\-&quot;R$&quot;\ * #,##0.00_-;_-&quot;R$&quot;\ * &quot;-&quot;??_-;_-@_-"/>
    <numFmt numFmtId="178" formatCode="_-* #,##0_-;\-* #,##0_-;_-* &quot;-&quot;_-;_-@_-"/>
    <numFmt numFmtId="179" formatCode="_-&quot;R$&quot;\ * #,##0_-;\-&quot;R$&quot;\ * #,##0_-;_-&quot;R$&quot;\ * &quot;-&quot;_-;_-@_-"/>
    <numFmt numFmtId="180" formatCode="0.00_ "/>
  </numFmts>
  <fonts count="23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name val="Calibri"/>
      <charset val="134"/>
      <scheme val="minor"/>
    </font>
    <font>
      <sz val="10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3" fillId="0" borderId="0" applyFont="0" applyFill="0" applyBorder="0" applyAlignment="0" applyProtection="0">
      <alignment vertical="center"/>
    </xf>
    <xf numFmtId="177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178" fontId="3" fillId="0" borderId="0" applyFont="0" applyFill="0" applyBorder="0" applyAlignment="0" applyProtection="0">
      <alignment vertical="center"/>
    </xf>
    <xf numFmtId="179" fontId="3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3" fillId="3" borderId="2" applyNumberFormat="0" applyFon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11" fillId="0" borderId="4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4" borderId="5" applyNumberFormat="0" applyAlignment="0" applyProtection="0">
      <alignment vertical="center"/>
    </xf>
    <xf numFmtId="0" fontId="13" fillId="5" borderId="6" applyNumberFormat="0" applyAlignment="0" applyProtection="0">
      <alignment vertical="center"/>
    </xf>
    <xf numFmtId="0" fontId="14" fillId="5" borderId="5" applyNumberFormat="0" applyAlignment="0" applyProtection="0">
      <alignment vertical="center"/>
    </xf>
    <xf numFmtId="0" fontId="15" fillId="6" borderId="7" applyNumberFormat="0" applyAlignment="0" applyProtection="0">
      <alignment vertical="center"/>
    </xf>
    <xf numFmtId="0" fontId="16" fillId="0" borderId="8" applyNumberFormat="0" applyFill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</cellStyleXfs>
  <cellXfs count="1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2" borderId="1" xfId="0" applyNumberFormat="1" applyFont="1" applyFill="1" applyBorder="1" applyAlignment="1">
      <alignment horizontal="center"/>
    </xf>
    <xf numFmtId="180" fontId="1" fillId="2" borderId="1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/>
    </xf>
  </cellXfs>
  <cellStyles count="49">
    <cellStyle name="Normal" xfId="0" builtinId="0"/>
    <cellStyle name="Comma" xfId="1" builtinId="3"/>
    <cellStyle name="Moeda" xfId="2" builtinId="4"/>
    <cellStyle name="Porcentagem" xfId="3" builtinId="5"/>
    <cellStyle name="Comma [0]" xfId="4" builtinId="6"/>
    <cellStyle name="Moeda [0]" xfId="5" builtinId="7"/>
    <cellStyle name="Hyperlink" xfId="6" builtinId="8"/>
    <cellStyle name="Hyperlink seguido" xfId="7" builtinId="9"/>
    <cellStyle name="Observação" xfId="8" builtinId="10"/>
    <cellStyle name="Texto de Aviso" xfId="9" builtinId="11"/>
    <cellStyle name="Título" xfId="10" builtinId="15"/>
    <cellStyle name="Texto Explicativo" xfId="11" builtinId="53"/>
    <cellStyle name="Título 1" xfId="12" builtinId="16"/>
    <cellStyle name="Título 2" xfId="13" builtinId="17"/>
    <cellStyle name="Título 3" xfId="14" builtinId="18"/>
    <cellStyle name="Título 4" xfId="15" builtinId="19"/>
    <cellStyle name="Entrada" xfId="16" builtinId="20"/>
    <cellStyle name="Saída" xfId="17" builtinId="21"/>
    <cellStyle name="Cálculo" xfId="18" builtinId="22"/>
    <cellStyle name="Célula de Verificação" xfId="19" builtinId="23"/>
    <cellStyle name="Célula Vinculada" xfId="20" builtinId="24"/>
    <cellStyle name="Total" xfId="21" builtinId="25"/>
    <cellStyle name="Bom" xfId="22" builtinId="26"/>
    <cellStyle name="Ruim" xfId="23" builtinId="27"/>
    <cellStyle name="Neutro" xfId="24" builtinId="28"/>
    <cellStyle name="Ênfase 1" xfId="25" builtinId="29"/>
    <cellStyle name="20% - Ênfase 1" xfId="26" builtinId="30"/>
    <cellStyle name="40% - Ênfase 1" xfId="27" builtinId="31"/>
    <cellStyle name="60% - Ênfase 1" xfId="28" builtinId="32"/>
    <cellStyle name="Ênfase 2" xfId="29" builtinId="33"/>
    <cellStyle name="20% - Ênfase 2" xfId="30" builtinId="34"/>
    <cellStyle name="40% - Ênfase 2" xfId="31" builtinId="35"/>
    <cellStyle name="60% - Ênfase 2" xfId="32" builtinId="36"/>
    <cellStyle name="Ênfase 3" xfId="33" builtinId="37"/>
    <cellStyle name="20% - Ênfase 3" xfId="34" builtinId="38"/>
    <cellStyle name="40% - Ênfase 3" xfId="35" builtinId="39"/>
    <cellStyle name="60% - Ênfase 3" xfId="36" builtinId="40"/>
    <cellStyle name="Ênfase 4" xfId="37" builtinId="41"/>
    <cellStyle name="20% - Ênfase 4" xfId="38" builtinId="42"/>
    <cellStyle name="40% - Ênfase 4" xfId="39" builtinId="43"/>
    <cellStyle name="60% - Ênfase 4" xfId="40" builtinId="44"/>
    <cellStyle name="Ênfase 5" xfId="41" builtinId="45"/>
    <cellStyle name="20% - Ênfase 5" xfId="42" builtinId="46"/>
    <cellStyle name="40% - Ênfase 5" xfId="43" builtinId="47"/>
    <cellStyle name="60% - Ênfase 5" xfId="44" builtinId="48"/>
    <cellStyle name="Ênfase 6" xfId="45" builtinId="49"/>
    <cellStyle name="20% - Ênfase 6" xfId="46" builtinId="50"/>
    <cellStyle name="40% - Ênfase 6" xfId="47" builtinId="51"/>
    <cellStyle name="60% - Ênfase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ustomXml" Target="../customXml/item3.xml"/><Relationship Id="rId3" Type="http://schemas.openxmlformats.org/officeDocument/2006/relationships/customXml" Target="../customXml/item2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pt-BR"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Gráfico Burndown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sprint4!$A$17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pt-BR"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sprint4!$B$1:$W$1</c:f>
              <c:strCache>
                <c:ptCount val="22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</c:strCache>
            </c:strRef>
          </c:cat>
          <c:val>
            <c:numRef>
              <c:f>sprint4!$B$17:$W$17</c:f>
              <c:numCache>
                <c:formatCode>General</c:formatCode>
                <c:ptCount val="22"/>
                <c:pt idx="0">
                  <c:v>54</c:v>
                </c:pt>
                <c:pt idx="1">
                  <c:v>54</c:v>
                </c:pt>
                <c:pt idx="2">
                  <c:v>54</c:v>
                </c:pt>
                <c:pt idx="3">
                  <c:v>54</c:v>
                </c:pt>
                <c:pt idx="4">
                  <c:v>54</c:v>
                </c:pt>
                <c:pt idx="5">
                  <c:v>54</c:v>
                </c:pt>
                <c:pt idx="6">
                  <c:v>54</c:v>
                </c:pt>
                <c:pt idx="7">
                  <c:v>54</c:v>
                </c:pt>
                <c:pt idx="8">
                  <c:v>54</c:v>
                </c:pt>
                <c:pt idx="9">
                  <c:v>43</c:v>
                </c:pt>
                <c:pt idx="10">
                  <c:v>41</c:v>
                </c:pt>
                <c:pt idx="11">
                  <c:v>38</c:v>
                </c:pt>
                <c:pt idx="12">
                  <c:v>38</c:v>
                </c:pt>
                <c:pt idx="13">
                  <c:v>38</c:v>
                </c:pt>
                <c:pt idx="14">
                  <c:v>38</c:v>
                </c:pt>
                <c:pt idx="15">
                  <c:v>38</c:v>
                </c:pt>
                <c:pt idx="16">
                  <c:v>38</c:v>
                </c:pt>
                <c:pt idx="17">
                  <c:v>38</c:v>
                </c:pt>
                <c:pt idx="18">
                  <c:v>35</c:v>
                </c:pt>
                <c:pt idx="19">
                  <c:v>30</c:v>
                </c:pt>
                <c:pt idx="20">
                  <c:v>20</c:v>
                </c:pt>
                <c:pt idx="2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sprint4!$A$18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pt-BR"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sprint4!$B$1:$W$1</c:f>
              <c:strCache>
                <c:ptCount val="22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  <c:pt idx="16">
                  <c:v>Dia 16</c:v>
                </c:pt>
                <c:pt idx="17">
                  <c:v>Dia 17</c:v>
                </c:pt>
                <c:pt idx="18">
                  <c:v>Dia 18</c:v>
                </c:pt>
                <c:pt idx="19">
                  <c:v>Dia 19</c:v>
                </c:pt>
                <c:pt idx="20">
                  <c:v>Dia 20</c:v>
                </c:pt>
                <c:pt idx="21">
                  <c:v>Dia 21</c:v>
                </c:pt>
              </c:strCache>
            </c:strRef>
          </c:cat>
          <c:val>
            <c:numRef>
              <c:f>sprint4!$B$18:$W$18</c:f>
              <c:numCache>
                <c:formatCode>General</c:formatCode>
                <c:ptCount val="22"/>
                <c:pt idx="0">
                  <c:v>54</c:v>
                </c:pt>
                <c:pt idx="1" c:formatCode="0.00_ ">
                  <c:v>51.4285714285714</c:v>
                </c:pt>
                <c:pt idx="2" c:formatCode="0.00_ ">
                  <c:v>48.8571428571429</c:v>
                </c:pt>
                <c:pt idx="3" c:formatCode="0.00_ ">
                  <c:v>46.2857142857143</c:v>
                </c:pt>
                <c:pt idx="4" c:formatCode="0.00_ ">
                  <c:v>43.7142857142857</c:v>
                </c:pt>
                <c:pt idx="5" c:formatCode="0.00_ ">
                  <c:v>41.1428571428572</c:v>
                </c:pt>
                <c:pt idx="6" c:formatCode="0.00_ ">
                  <c:v>38.5714285714286</c:v>
                </c:pt>
                <c:pt idx="7" c:formatCode="0.00_ ">
                  <c:v>36</c:v>
                </c:pt>
                <c:pt idx="8" c:formatCode="0.00_ ">
                  <c:v>33.4285714285714</c:v>
                </c:pt>
                <c:pt idx="9" c:formatCode="0.00_ ">
                  <c:v>30.8571428571429</c:v>
                </c:pt>
                <c:pt idx="10" c:formatCode="0.00_ ">
                  <c:v>28.2857142857143</c:v>
                </c:pt>
                <c:pt idx="11" c:formatCode="0.00_ ">
                  <c:v>25.7142857142857</c:v>
                </c:pt>
                <c:pt idx="12" c:formatCode="0.00_ ">
                  <c:v>23.1428571428572</c:v>
                </c:pt>
                <c:pt idx="13" c:formatCode="0.00_ ">
                  <c:v>20.5714285714286</c:v>
                </c:pt>
                <c:pt idx="14" c:formatCode="0.00_ ">
                  <c:v>18</c:v>
                </c:pt>
                <c:pt idx="15" c:formatCode="0.00_ ">
                  <c:v>15.4285714285714</c:v>
                </c:pt>
                <c:pt idx="16" c:formatCode="0.00_ ">
                  <c:v>12.8571428571429</c:v>
                </c:pt>
                <c:pt idx="17" c:formatCode="0.00_ ">
                  <c:v>10.2857142857143</c:v>
                </c:pt>
                <c:pt idx="18" c:formatCode="0.00_ ">
                  <c:v>7.71428571428572</c:v>
                </c:pt>
                <c:pt idx="19" c:formatCode="0.00_ ">
                  <c:v>5.14285714285715</c:v>
                </c:pt>
                <c:pt idx="20" c:formatCode="0.00_ ">
                  <c:v>2.57142857142858</c:v>
                </c:pt>
                <c:pt idx="21" c:formatCode="0.00_ ">
                  <c:v>7.99360577730113e-15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0"/>
        <c:smooth val="0"/>
        <c:axId val="2062329663"/>
        <c:axId val="10258607"/>
      </c:lineChart>
      <c:catAx>
        <c:axId val="20623296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0258607"/>
        <c:crosses val="autoZero"/>
        <c:auto val="1"/>
        <c:lblAlgn val="ctr"/>
        <c:lblOffset val="100"/>
        <c:noMultiLvlLbl val="0"/>
      </c:catAx>
      <c:valAx>
        <c:axId val="1025860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06232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pt-BR"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pt-BR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41867</xdr:colOff>
      <xdr:row>18</xdr:row>
      <xdr:rowOff>44746</xdr:rowOff>
    </xdr:from>
    <xdr:to>
      <xdr:col>22</xdr:col>
      <xdr:colOff>816428</xdr:colOff>
      <xdr:row>34</xdr:row>
      <xdr:rowOff>20934</xdr:rowOff>
    </xdr:to>
    <xdr:graphicFrame>
      <xdr:nvGraphicFramePr>
        <xdr:cNvPr id="2" name="Gráfico 1"/>
        <xdr:cNvGraphicFramePr/>
      </xdr:nvGraphicFramePr>
      <xdr:xfrm>
        <a:off x="41275" y="9696450"/>
        <a:ext cx="19319875" cy="30238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W53"/>
  <sheetViews>
    <sheetView tabSelected="1" zoomScale="90" zoomScaleNormal="90" workbookViewId="0">
      <pane ySplit="1" topLeftCell="A2" activePane="bottomLeft" state="frozen"/>
      <selection/>
      <selection pane="bottomLeft" activeCell="C36" sqref="C36"/>
    </sheetView>
  </sheetViews>
  <sheetFormatPr defaultColWidth="9" defaultRowHeight="15"/>
  <cols>
    <col min="1" max="1" width="17" style="1" customWidth="1"/>
    <col min="2" max="2" width="13.7142857142857" style="2" customWidth="1"/>
    <col min="3" max="3" width="12.8571428571429" style="2"/>
    <col min="4" max="5" width="9.14285714285714" style="2"/>
    <col min="6" max="6" width="12.8571428571429" style="2"/>
    <col min="7" max="7" width="11.7142857142857" style="2"/>
    <col min="8" max="17" width="12.8571428571429" style="2"/>
    <col min="18" max="18" width="11.7142857142857"/>
    <col min="19" max="22" width="12.8571428571429"/>
    <col min="23" max="23" width="12.8571428571429" customWidth="1"/>
  </cols>
  <sheetData>
    <row r="1" spans="1:23">
      <c r="A1" s="3"/>
      <c r="B1" s="4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</row>
    <row r="2" ht="45" spans="1:23">
      <c r="A2" s="5" t="s">
        <v>22</v>
      </c>
      <c r="B2" s="6">
        <v>3</v>
      </c>
      <c r="C2" s="5"/>
      <c r="D2" s="7"/>
      <c r="E2" s="7"/>
      <c r="F2" s="7"/>
      <c r="G2" s="7"/>
      <c r="H2" s="7"/>
      <c r="I2" s="7"/>
      <c r="J2" s="7"/>
      <c r="K2" s="7">
        <v>3</v>
      </c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</row>
    <row r="3" ht="90" spans="1:23">
      <c r="A3" s="5" t="s">
        <v>23</v>
      </c>
      <c r="B3" s="6">
        <v>4</v>
      </c>
      <c r="C3" s="7"/>
      <c r="D3" s="7"/>
      <c r="E3" s="7"/>
      <c r="F3" s="7"/>
      <c r="G3" s="7"/>
      <c r="H3" s="7"/>
      <c r="I3" s="7"/>
      <c r="J3" s="7"/>
      <c r="K3" s="7">
        <v>4</v>
      </c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</row>
    <row r="4" ht="60" spans="1:23">
      <c r="A4" s="5" t="s">
        <v>24</v>
      </c>
      <c r="B4" s="6">
        <v>7</v>
      </c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>
        <v>3</v>
      </c>
      <c r="W4" s="7">
        <v>4</v>
      </c>
    </row>
    <row r="5" ht="68" customHeight="1" spans="1:23">
      <c r="A5" s="5" t="s">
        <v>25</v>
      </c>
      <c r="B5" s="6">
        <v>6</v>
      </c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>
        <v>3</v>
      </c>
      <c r="U5" s="7">
        <v>3</v>
      </c>
      <c r="V5" s="7"/>
      <c r="W5" s="7"/>
    </row>
    <row r="6" ht="30" spans="1:23">
      <c r="A6" s="5" t="s">
        <v>26</v>
      </c>
      <c r="B6" s="6">
        <v>4</v>
      </c>
      <c r="C6" s="7"/>
      <c r="D6" s="7"/>
      <c r="E6" s="7"/>
      <c r="F6" s="7"/>
      <c r="G6" s="7"/>
      <c r="H6" s="7"/>
      <c r="I6" s="7"/>
      <c r="J6" s="7"/>
      <c r="K6" s="7">
        <v>4</v>
      </c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</row>
    <row r="7" ht="73" customHeight="1" spans="1:23">
      <c r="A7" s="5" t="s">
        <v>27</v>
      </c>
      <c r="B7" s="6">
        <v>5</v>
      </c>
      <c r="C7" s="7"/>
      <c r="D7" s="7"/>
      <c r="E7" s="7"/>
      <c r="F7" s="7"/>
      <c r="G7" s="7"/>
      <c r="H7" s="7"/>
      <c r="I7" s="7"/>
      <c r="J7" s="7"/>
      <c r="K7" s="7"/>
      <c r="L7" s="7">
        <v>2</v>
      </c>
      <c r="M7" s="7">
        <v>3</v>
      </c>
      <c r="N7" s="7"/>
      <c r="O7" s="7"/>
      <c r="P7" s="7"/>
      <c r="Q7" s="7"/>
      <c r="R7" s="7"/>
      <c r="S7" s="7"/>
      <c r="T7" s="7"/>
      <c r="U7" s="7"/>
      <c r="V7" s="7"/>
      <c r="W7" s="7"/>
    </row>
    <row r="8" ht="45" spans="1:23">
      <c r="A8" s="5" t="s">
        <v>28</v>
      </c>
      <c r="B8" s="6">
        <v>4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>
        <v>4</v>
      </c>
    </row>
    <row r="9" ht="45" spans="1:23">
      <c r="A9" s="8" t="s">
        <v>29</v>
      </c>
      <c r="B9" s="6">
        <v>4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>
        <v>4</v>
      </c>
    </row>
    <row r="10" ht="45" spans="1:23">
      <c r="A10" s="5" t="s">
        <v>30</v>
      </c>
      <c r="B10" s="6">
        <v>3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>
        <v>1</v>
      </c>
      <c r="V10" s="7">
        <v>2</v>
      </c>
      <c r="W10" s="7"/>
    </row>
    <row r="11" ht="30" spans="1:23">
      <c r="A11" s="5" t="s">
        <v>31</v>
      </c>
      <c r="B11" s="6">
        <v>3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>
        <v>1</v>
      </c>
      <c r="V11" s="7">
        <v>2</v>
      </c>
      <c r="W11" s="7"/>
    </row>
    <row r="12" ht="45" spans="1:23">
      <c r="A12" s="5" t="s">
        <v>32</v>
      </c>
      <c r="B12" s="6">
        <v>3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>
        <v>3</v>
      </c>
      <c r="W12" s="7"/>
    </row>
    <row r="13" ht="45" spans="1:23">
      <c r="A13" s="5" t="s">
        <v>33</v>
      </c>
      <c r="B13" s="6">
        <v>4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>
        <v>4</v>
      </c>
    </row>
    <row r="14" ht="60" spans="1:23">
      <c r="A14" s="5" t="s">
        <v>34</v>
      </c>
      <c r="B14" s="6">
        <v>4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>
        <v>4</v>
      </c>
    </row>
    <row r="15" ht="19" customHeight="1" spans="1:23">
      <c r="A15" s="5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  <row r="16" spans="1:23">
      <c r="A16" s="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</row>
    <row r="17" spans="1:23">
      <c r="A17" s="9" t="s">
        <v>35</v>
      </c>
      <c r="B17" s="10">
        <f>SUM(B2:B16)</f>
        <v>54</v>
      </c>
      <c r="C17" s="4">
        <f t="shared" ref="C17:W17" si="0">B17-SUM(C2:C16)</f>
        <v>54</v>
      </c>
      <c r="D17" s="4">
        <f t="shared" si="0"/>
        <v>54</v>
      </c>
      <c r="E17" s="4">
        <f t="shared" si="0"/>
        <v>54</v>
      </c>
      <c r="F17" s="4">
        <f t="shared" si="0"/>
        <v>54</v>
      </c>
      <c r="G17" s="4">
        <f t="shared" si="0"/>
        <v>54</v>
      </c>
      <c r="H17" s="4">
        <f t="shared" si="0"/>
        <v>54</v>
      </c>
      <c r="I17" s="4">
        <f t="shared" si="0"/>
        <v>54</v>
      </c>
      <c r="J17" s="4">
        <f t="shared" si="0"/>
        <v>54</v>
      </c>
      <c r="K17" s="4">
        <f t="shared" si="0"/>
        <v>43</v>
      </c>
      <c r="L17" s="4">
        <f t="shared" si="0"/>
        <v>41</v>
      </c>
      <c r="M17" s="4">
        <f t="shared" si="0"/>
        <v>38</v>
      </c>
      <c r="N17" s="4">
        <f t="shared" si="0"/>
        <v>38</v>
      </c>
      <c r="O17" s="4">
        <f t="shared" si="0"/>
        <v>38</v>
      </c>
      <c r="P17" s="4">
        <f t="shared" si="0"/>
        <v>38</v>
      </c>
      <c r="Q17" s="4">
        <f t="shared" si="0"/>
        <v>38</v>
      </c>
      <c r="R17" s="4">
        <f t="shared" si="0"/>
        <v>38</v>
      </c>
      <c r="S17" s="4">
        <f t="shared" si="0"/>
        <v>38</v>
      </c>
      <c r="T17" s="4">
        <f t="shared" si="0"/>
        <v>35</v>
      </c>
      <c r="U17" s="4">
        <f t="shared" si="0"/>
        <v>30</v>
      </c>
      <c r="V17" s="4">
        <f t="shared" si="0"/>
        <v>20</v>
      </c>
      <c r="W17" s="4">
        <f t="shared" si="0"/>
        <v>0</v>
      </c>
    </row>
    <row r="18" spans="1:23">
      <c r="A18" s="9" t="s">
        <v>36</v>
      </c>
      <c r="B18" s="4">
        <f>B17</f>
        <v>54</v>
      </c>
      <c r="C18" s="11">
        <f>B18-($B$18/COUNTA($C$1:$W$1))</f>
        <v>51.4285714285714</v>
      </c>
      <c r="D18" s="11">
        <f>C18-($B$18/COUNTA($C$1:$W$1))</f>
        <v>48.8571428571429</v>
      </c>
      <c r="E18" s="11">
        <f>D18-($B$18/COUNTA($C$1:$W$1))</f>
        <v>46.2857142857143</v>
      </c>
      <c r="F18" s="11">
        <f>E18-($B$18/COUNTA($C$1:$W$1))</f>
        <v>43.7142857142857</v>
      </c>
      <c r="G18" s="11">
        <f>F18-($B$18/COUNTA($C$1:$W$1))</f>
        <v>41.1428571428572</v>
      </c>
      <c r="H18" s="11">
        <f>G18-($B$18/COUNTA($C$1:$W$1))</f>
        <v>38.5714285714286</v>
      </c>
      <c r="I18" s="11">
        <f>H18-($B$18/COUNTA($C$1:$W$1))</f>
        <v>36</v>
      </c>
      <c r="J18" s="11">
        <f>I18-($B$18/COUNTA($C$1:$W$1))</f>
        <v>33.4285714285714</v>
      </c>
      <c r="K18" s="11">
        <f>J18-($B$18/COUNTA($C$1:$W$1))</f>
        <v>30.8571428571429</v>
      </c>
      <c r="L18" s="11">
        <f>K18-($B$18/COUNTA($C$1:$W$1))</f>
        <v>28.2857142857143</v>
      </c>
      <c r="M18" s="11">
        <f>L18-($B$18/COUNTA($C$1:$W$1))</f>
        <v>25.7142857142857</v>
      </c>
      <c r="N18" s="11">
        <f>M18-($B$18/COUNTA($C$1:$W$1))</f>
        <v>23.1428571428572</v>
      </c>
      <c r="O18" s="11">
        <f>N18-($B$18/COUNTA($C$1:$W$1))</f>
        <v>20.5714285714286</v>
      </c>
      <c r="P18" s="11">
        <f>O18-($B$18/COUNTA($C$1:$W$1))</f>
        <v>18</v>
      </c>
      <c r="Q18" s="11">
        <f>P18-($B$18/COUNTA($C$1:$W$1))</f>
        <v>15.4285714285714</v>
      </c>
      <c r="R18" s="11">
        <f>Q18-($B$18/COUNTA($C$1:$W$1))</f>
        <v>12.8571428571429</v>
      </c>
      <c r="S18" s="11">
        <f>R18-($B$18/COUNTA($C$1:$W$1))</f>
        <v>10.2857142857143</v>
      </c>
      <c r="T18" s="11">
        <f>S18-($B$18/COUNTA($C$1:$W$1))</f>
        <v>7.71428571428572</v>
      </c>
      <c r="U18" s="11">
        <f>T18-($B$18/COUNTA($C$1:$W$1))</f>
        <v>5.14285714285715</v>
      </c>
      <c r="V18" s="11">
        <f>U18-($B$18/COUNTA($C$1:$W$1))</f>
        <v>2.57142857142858</v>
      </c>
      <c r="W18" s="11">
        <f>V18-($B$18/COUNTA($C$1:$W$1))</f>
        <v>7.99360577730113e-15</v>
      </c>
    </row>
    <row r="23" spans="3:3">
      <c r="C23" s="2" t="s">
        <v>37</v>
      </c>
    </row>
    <row r="34" spans="1:2">
      <c r="A34" s="12"/>
      <c r="B34" s="13"/>
    </row>
    <row r="35" spans="1:2">
      <c r="A35" s="12"/>
      <c r="B35" s="13"/>
    </row>
    <row r="36" spans="1:2">
      <c r="A36" s="12"/>
      <c r="B36" s="13"/>
    </row>
    <row r="37" spans="1:2">
      <c r="A37" s="12"/>
      <c r="B37" s="13"/>
    </row>
    <row r="38" spans="1:2">
      <c r="A38" s="12"/>
      <c r="B38" s="13"/>
    </row>
    <row r="39" spans="1:2">
      <c r="A39" s="12"/>
      <c r="B39" s="13"/>
    </row>
    <row r="40" spans="1:2">
      <c r="A40" s="12"/>
      <c r="B40" s="13"/>
    </row>
    <row r="41" spans="1:2">
      <c r="A41" s="12"/>
      <c r="B41" s="13"/>
    </row>
    <row r="42" spans="1:2">
      <c r="A42" s="12"/>
      <c r="B42" s="13"/>
    </row>
    <row r="43" spans="1:2">
      <c r="A43" s="12"/>
      <c r="B43" s="13"/>
    </row>
    <row r="44" spans="1:2">
      <c r="A44" s="12"/>
      <c r="B44" s="13"/>
    </row>
    <row r="45" spans="1:2">
      <c r="A45" s="12"/>
      <c r="B45" s="13"/>
    </row>
    <row r="46" spans="1:2">
      <c r="A46" s="12"/>
      <c r="B46" s="13"/>
    </row>
    <row r="47" spans="1:2">
      <c r="A47" s="12"/>
      <c r="B47" s="13"/>
    </row>
    <row r="48" spans="1:2">
      <c r="A48" s="12"/>
      <c r="B48" s="13"/>
    </row>
    <row r="49" spans="1:2">
      <c r="A49" s="12"/>
      <c r="B49" s="13"/>
    </row>
    <row r="50" spans="1:2">
      <c r="A50" s="12"/>
      <c r="B50" s="13"/>
    </row>
    <row r="51" spans="1:2">
      <c r="A51" s="12"/>
      <c r="B51" s="13"/>
    </row>
    <row r="52" spans="1:2">
      <c r="A52" s="12"/>
      <c r="B52" s="13"/>
    </row>
    <row r="53" spans="1:2">
      <c r="A53" s="12"/>
      <c r="B53" s="13"/>
    </row>
  </sheetData>
  <pageMargins left="0.511811024" right="0.511811024" top="0.787401575" bottom="0.787401575" header="0.31496062" footer="0.31496062"/>
  <pageSetup paperSize="9" orientation="portrait" horizontalDpi="300" verticalDpi="300"/>
  <headerFooter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1277897-FB9C-44A5-9760-E40A3967BB10}">
  <ds:schemaRefs/>
</ds:datastoreItem>
</file>

<file path=customXml/itemProps2.xml><?xml version="1.0" encoding="utf-8"?>
<ds:datastoreItem xmlns:ds="http://schemas.openxmlformats.org/officeDocument/2006/customXml" ds:itemID="{B519EB26-1FFB-4654-9FAF-C26D7A798E15}">
  <ds:schemaRefs/>
</ds:datastoreItem>
</file>

<file path=customXml/itemProps3.xml><?xml version="1.0" encoding="utf-8"?>
<ds:datastoreItem xmlns:ds="http://schemas.openxmlformats.org/officeDocument/2006/customXml" ds:itemID="{DE43E41D-15D3-47AC-9F59-E7F4A375520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sprint4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Cláudio</dc:creator>
  <cp:lastModifiedBy>User</cp:lastModifiedBy>
  <dcterms:created xsi:type="dcterms:W3CDTF">2020-05-26T20:43:00Z</dcterms:created>
  <dcterms:modified xsi:type="dcterms:W3CDTF">2024-06-16T23:33:37Z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0x010100C8A11C150D82224992911055AAC819C6</vt:lpwstr>
  </property>
  <property fmtid="{D5CDD505-2E9C-101B-9397-08002B2CF9AE}" pid="3" name="ICV">
    <vt:lpwstr>F4AEA6A592094BF7908EEBEB920B8CCB_13</vt:lpwstr>
  </property>
  <property fmtid="{D5CDD505-2E9C-101B-9397-08002B2CF9AE}" pid="4" name="KSOProductBuildVer">
    <vt:lpwstr>1046-12.2.0.17119</vt:lpwstr>
  </property>
</Properties>
</file>